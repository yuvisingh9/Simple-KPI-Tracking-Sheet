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xr:revisionPtr revIDLastSave="0" documentId="8_{10B1F416-E7EC-4972-B7F8-5022A6393416}" xr6:coauthVersionLast="47" xr6:coauthVersionMax="47" xr10:uidLastSave="{00000000-0000-0000-0000-000000000000}"/>
  <bookViews>
    <workbookView xWindow="0" yWindow="0" windowWidth="0" windowHeight="0" xr2:uid="{00000000-000D-0000-FFFF-FFFF00000000}"/>
  </bookViews>
  <sheets>
    <sheet name="KPI Summary" sheetId="1" r:id="rId1"/>
    <sheet name="Raw Order Data" sheetId="2" r:id="rId2"/>
  </sheets>
  <definedNames>
    <definedName name="_xlnm.Print_Area" localSheetId="0">'KPI Summary'!$A$1:$F$25</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1" l="1"/>
  <c r="I20" i="1"/>
  <c r="I19" i="1"/>
  <c r="B19" i="1"/>
  <c r="I18" i="1"/>
  <c r="B18" i="1"/>
  <c r="I17" i="1"/>
  <c r="B17" i="1"/>
  <c r="I16" i="1"/>
  <c r="B16" i="1"/>
  <c r="I15" i="1"/>
  <c r="B15" i="1"/>
  <c r="I14" i="1"/>
  <c r="D9" i="1"/>
  <c r="A9" i="1"/>
  <c r="E5" i="1"/>
  <c r="C5" i="1"/>
  <c r="A5" i="1"/>
</calcChain>
</file>

<file path=xl/sharedStrings.xml><?xml version="1.0" encoding="utf-8"?>
<sst xmlns="http://schemas.openxmlformats.org/spreadsheetml/2006/main" count="434" uniqueCount="140">
  <si>
    <t>RETAIL SALES | KPI TRACKING SUMMARY</t>
  </si>
  <si>
    <t>TOTAL REVENUE</t>
  </si>
  <si>
    <t>UNITS SOLD</t>
  </si>
  <si>
    <t>AVERAGE ORDER VALUE</t>
  </si>
  <si>
    <t>TOP PRODUCT BY REVENUE</t>
  </si>
  <si>
    <t>QUICK READ</t>
  </si>
  <si>
    <t>Product</t>
  </si>
  <si>
    <t>Revenue</t>
  </si>
  <si>
    <t>Metric</t>
  </si>
  <si>
    <t>Value</t>
  </si>
  <si>
    <t>Wireless Mouse</t>
  </si>
  <si>
    <t>Number of orders</t>
  </si>
  <si>
    <t>Keyboard</t>
  </si>
  <si>
    <t>Average units per order</t>
  </si>
  <si>
    <t>USB-C Hub</t>
  </si>
  <si>
    <t>Number of products</t>
  </si>
  <si>
    <t>Laptop Stand</t>
  </si>
  <si>
    <t>Reporting period start</t>
  </si>
  <si>
    <t>Notebook Set</t>
  </si>
  <si>
    <t>Reporting period end</t>
  </si>
  <si>
    <t>Desk Lamp</t>
  </si>
  <si>
    <t>Water Bottle</t>
  </si>
  <si>
    <t>Backpack</t>
  </si>
  <si>
    <t>HOW TO UPDATE</t>
  </si>
  <si>
    <t>Add new transactions in the next row of the Excel table on the 'Raw Order Data' tab. The table and KPI formulas are designed to expand with new rows. Keep the column headers unchanged, enter dates as dates and numbers as numbers, and use consistent product names.</t>
  </si>
  <si>
    <t>Order ID</t>
  </si>
  <si>
    <t>Order Date</t>
  </si>
  <si>
    <t>Category</t>
  </si>
  <si>
    <t>Region</t>
  </si>
  <si>
    <t>Units Sold</t>
  </si>
  <si>
    <t>Unit Price</t>
  </si>
  <si>
    <t>Order Value</t>
  </si>
  <si>
    <t>ORD-0001</t>
  </si>
  <si>
    <t>Lifestyle</t>
  </si>
  <si>
    <t>South</t>
  </si>
  <si>
    <t>ORD-0002</t>
  </si>
  <si>
    <t>East</t>
  </si>
  <si>
    <t>ORD-0003</t>
  </si>
  <si>
    <t>ORD-0004</t>
  </si>
  <si>
    <t>ORD-0005</t>
  </si>
  <si>
    <t>Accessories</t>
  </si>
  <si>
    <t>ORD-0006</t>
  </si>
  <si>
    <t>ORD-0007</t>
  </si>
  <si>
    <t>West</t>
  </si>
  <si>
    <t>ORD-0008</t>
  </si>
  <si>
    <t>ORD-0009</t>
  </si>
  <si>
    <t>ORD-0010</t>
  </si>
  <si>
    <t>North</t>
  </si>
  <si>
    <t>ORD-0011</t>
  </si>
  <si>
    <t>ORD-0012</t>
  </si>
  <si>
    <t>ORD-0013</t>
  </si>
  <si>
    <t>Office</t>
  </si>
  <si>
    <t>ORD-0014</t>
  </si>
  <si>
    <t>ORD-0015</t>
  </si>
  <si>
    <t>ORD-0016</t>
  </si>
  <si>
    <t>ORD-0017</t>
  </si>
  <si>
    <t>ORD-0018</t>
  </si>
  <si>
    <t>ORD-0019</t>
  </si>
  <si>
    <t>Stationery</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</si>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</sst>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m\-yyyy"/>
    <numFmt numFmtId="166" formatCode="&quot;₹&quot;#,##0.00"/>
  </numFmts>
  <fonts count="9">
    <font>
      <sz val="11"/>
      <color theme="1"/>
      <name val="Calibri"/>
      <family val="2"/>
      <scheme val="minor"/>
    </font>
    <font>
      <b/>
      <sz val="11"/>
      <color rgb="FFFFFFFF"/>
      <name val="Calibri"/>
    </font>
    <font>
      <b/>
      <sz val="18"/>
      <color rgb="FFFFFFFF"/>
      <name val="Calibri"/>
    </font>
    <font>
      <i/>
      <sz val="10"/>
      <color rgb="FF44546A"/>
      <name val="Calibri"/>
    </font>
    <font>
      <b/>
      <sz val="10"/>
      <color rgb="FFFFFFFF"/>
      <name val="Calibri"/>
    </font>
    <font>
      <b/>
      <sz val="18"/>
      <color rgb="FF17365D"/>
      <name val="Calibri"/>
    </font>
    <font>
      <b/>
      <sz val="16"/>
      <color rgb="FF17365D"/>
      <name val="Calibri"/>
    </font>
    <font>
      <b/>
      <sz val="11"/>
      <color rgb="FF17365D"/>
      <name val="Calibri"/>
    </font>
    <font>
      <sz val="11"/>
      <color rgb="FF404040"/>
      <name val="Calibri"/>
    </font>
  </fonts>
  <fills count="7">
    <fill>
      <patternFill patternType="none"/>
    </fill>
    <fill>
      <patternFill patternType="gray125"/>
    </fill>
    <fill>
      <patternFill patternType="solid">
        <fgColor rgb="FF17365D"/>
      </patternFill>
    </fill>
    <fill>
      <patternFill patternType="solid">
        <fgColor rgb="FF4472C4"/>
      </patternFill>
    </fill>
    <fill>
      <patternFill patternType="solid">
        <fgColor rgb="FFD9EAF7"/>
      </patternFill>
    </fill>
    <fill>
      <patternFill patternType="solid">
        <fgColor rgb="FFE2F0D9"/>
      </patternFill>
    </fill>
    <fill>
      <patternFill patternType="solid">
        <fgColor rgb="FFF2F2F2"/>
      </patternFill>
    </fill>
  </fills>
  <borders count="2">
    <border>
      <left/>
      <right/>
      <top/>
      <bottom/>
      <diagonal/>
    </border>
    <border>
      <left/>
      <right/>
      <top/>
      <bottom style="thin">
        <color rgb="FFD9E2F3"/>
      </bottom>
      <diagonal/>
    </border>
  </borders>
  <cellStyleXfs count="1">
    <xf numFmtId="0" fontId="0" fillId="0" borderId="0"/>
  </cellStyleXfs>
  <cellXfs count="22">
    <xf numFmtId="0" fontId="0" fillId="0" borderId="0" xfId="0"/>
    <xf numFmtId="0" fontId="1" fillId="3" borderId="0" xfId="0" applyFont="1" applyFill="1"/>
    <xf numFmtId="0" fontId="1" fillId="3" borderId="1" xfId="0" applyFont="1" applyFill="1" applyBorder="1" applyAlignment="1">
      <alignment vertical="center"/>
    </xf>
    <xf numFmtId="166" fontId="0" fillId="0" borderId="0" xfId="0" applyNumberFormat="1"/>
    <xf numFmtId="0" fontId="0" fillId="0" borderId="1" xfId="0" applyBorder="1" applyAlignment="1">
      <alignment vertical="center"/>
    </xf>
    <xf numFmtId="0" fontId="7" fillId="0" borderId="1" xfId="0" applyFont="1" applyBorder="1" applyAlignment="1">
      <alignment vertical="center"/>
    </xf>
    <xf numFmtId="165" fontId="7" fillId="0" borderId="1" xfId="0" applyNumberFormat="1" applyFont="1" applyBorder="1" applyAlignment="1">
      <alignment vertical="center"/>
    </xf>
    <xf numFmtId="0" fontId="1" fillId="2" borderId="0" xfId="0" applyFont="1" applyFill="1" applyAlignment="1">
      <alignment horizontal="center"/>
    </xf>
    <xf numFmtId="165" fontId="0" fillId="0" borderId="0" xfId="0" applyNumberFormat="1"/>
    <xf numFmtId="0" fontId="4" fillId="3" borderId="0" xfId="0" applyFont="1" applyFill="1" applyAlignment="1">
      <alignment horizontal="center" vertical="center"/>
    </xf>
    <xf numFmtId="0" fontId="3" fillId="0" borderId="0" xfId="0" applyFont="1" applyAlignment="1">
      <alignment vertical="center"/>
    </xf>
    <xf numFmtId="0" fontId="2" fillId="2" borderId="0" xfId="0" applyFont="1" applyFill="1" applyAlignment="1">
      <alignment vertical="center"/>
    </xf>
    <xf numFmtId="0" fontId="1" fillId="2" borderId="0" xfId="0" applyFont="1" applyFill="1" applyAlignment="1">
      <alignment horizontal="left"/>
    </xf>
    <xf numFmtId="3" fontId="5" fillId="4" borderId="0" xfId="0" applyNumberFormat="1" applyFont="1" applyFill="1" applyAlignment="1">
      <alignment horizontal="center" vertical="center"/>
    </xf>
    <xf numFmtId="166" fontId="5" fillId="4" borderId="0" xfId="0" applyNumberFormat="1" applyFont="1" applyFill="1" applyAlignment="1">
      <alignment horizontal="center" vertical="center"/>
    </xf>
    <xf numFmtId="0" fontId="6" fillId="5" borderId="0" xfId="0" applyFont="1" applyFill="1" applyAlignment="1">
      <alignment horizontal="center" vertical="center" wrapText="1"/>
    </xf>
    <xf numFmtId="166" fontId="6" fillId="5" borderId="0" xfId="0" applyNumberFormat="1" applyFont="1" applyFill="1" applyAlignment="1">
      <alignment horizontal="center" vertical="center"/>
    </xf>
    <xf numFmtId="0" fontId="8" fillId="6" borderId="0" xfId="0" applyFont="1" applyFill="1" applyAlignment="1">
      <alignment vertical="top" wrapText="1"/>
    </xf>
    <xf numFmtId="0" fontId="0" fillId="0" borderId="0" xfId="0" applyAlignment="1"/>
    <xf numFmtId="0" fontId="0" fillId="3" borderId="0" xfId="0" applyFill="1" applyAlignment="1"/>
    <xf numFmtId="0" fontId="0" fillId="4" borderId="0" xfId="0" applyFill="1" applyAlignment="1"/>
    <xf numFmtId="0" fontId="1" fillId="2"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Table" displayName="OrdersTable" ref="A1:I101">
  <autoFilter ref="A1:I101" xr:uid="{00000000-0009-0000-0100-000001000000}"/>
  <tableColumns count="9">
    <tableColumn id="1" xr3:uid="{00000000-0010-0000-0000-000001000000}" name="Order ID"/>
    <tableColumn id="2" xr3:uid="{00000000-0010-0000-0000-000002000000}" name="Order Date"/>
    <tableColumn id="3" xr3:uid="{00000000-0010-0000-0000-000003000000}" name="Product"/>
    <tableColumn id="4" xr3:uid="{00000000-0010-0000-0000-000004000000}" name="Category"/>
    <tableColumn id="5" xr3:uid="{00000000-0010-0000-0000-000005000000}" name="Region"/>
    <tableColumn id="6" xr3:uid="{00000000-0010-0000-0000-000006000000}" name="Units Sold"/>
    <tableColumn id="7" xr3:uid="{00000000-0010-0000-0000-000007000000}" name="Unit Price"/>
    <tableColumn id="8" xr3:uid="{00000000-0010-0000-0000-000008000000}" name="Revenue"/>
    <tableColumn id="9" xr3:uid="{00000000-0010-0000-0000-000009000000}" name="Order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I25"/>
  <sheetViews>
    <sheetView showGridLines="0" tabSelected="1" zoomScale="90" workbookViewId="0">
      <pane ySplit="3" topLeftCell="A11" activePane="bottomLeft" state="frozen"/>
      <selection pane="bottomLeft" activeCell="D20" sqref="D20"/>
    </sheetView>
  </sheetViews>
  <sheetFormatPr defaultRowHeight="15"/>
  <cols>
    <col min="1" max="1" width="24" customWidth="1"/>
    <col min="2" max="2" width="19" customWidth="1"/>
    <col min="3" max="6" width="18" customWidth="1"/>
    <col min="8" max="9" width="13" hidden="1" customWidth="1"/>
  </cols>
  <sheetData>
    <row r="1" spans="1:9" ht="33.950000000000003" customHeight="1">
      <c r="A1" s="11" t="s">
        <v>0</v>
      </c>
      <c r="B1" s="18"/>
      <c r="C1" s="18"/>
      <c r="D1" s="18"/>
      <c r="E1" s="18"/>
      <c r="F1" s="18"/>
    </row>
    <row r="2" spans="1:9" ht="2.25" customHeight="1">
      <c r="A2" s="10"/>
      <c r="B2" s="18"/>
      <c r="C2" s="18"/>
      <c r="D2" s="18"/>
      <c r="E2" s="18"/>
      <c r="F2" s="18"/>
    </row>
    <row r="4" spans="1:9" ht="24.95" customHeight="1">
      <c r="A4" s="9" t="s">
        <v>1</v>
      </c>
      <c r="B4" s="19"/>
      <c r="C4" s="9" t="s">
        <v>2</v>
      </c>
      <c r="D4" s="19"/>
      <c r="E4" s="9" t="s">
        <v>3</v>
      </c>
      <c r="F4" s="19"/>
    </row>
    <row r="5" spans="1:9" ht="27.95" customHeight="1">
      <c r="A5" s="14">
        <f>SUM(OrdersTable[Revenue])</f>
        <v>509680</v>
      </c>
      <c r="B5" s="20"/>
      <c r="C5" s="13">
        <f>SUM(OrdersTable[Units Sold])</f>
        <v>488</v>
      </c>
      <c r="D5" s="20"/>
      <c r="E5" s="14">
        <f>IFERROR(AVERAGE(OrdersTable[Order Value]),0)</f>
        <v>5096.8</v>
      </c>
      <c r="F5" s="20"/>
    </row>
    <row r="6" spans="1:9" ht="21.95" customHeight="1">
      <c r="A6" s="20"/>
      <c r="B6" s="20"/>
      <c r="C6" s="20"/>
      <c r="D6" s="20"/>
      <c r="E6" s="20"/>
      <c r="F6" s="20"/>
    </row>
    <row r="8" spans="1:9">
      <c r="A8" s="12" t="s">
        <v>4</v>
      </c>
      <c r="B8" s="18"/>
      <c r="C8" s="18"/>
      <c r="D8" s="18"/>
      <c r="E8" s="18"/>
      <c r="F8" s="18"/>
    </row>
    <row r="9" spans="1:9">
      <c r="A9" s="15" t="str">
        <f>IFERROR(INDEX(H14:H21,MATCH(MAX(I14:I21),I14:I21,0)),"No data")</f>
        <v>USB-C Hub</v>
      </c>
      <c r="B9" s="18"/>
      <c r="C9" s="18"/>
      <c r="D9" s="16">
        <f>IFERROR(MAX(I14:I21),0)</f>
        <v>156240</v>
      </c>
      <c r="E9" s="18"/>
      <c r="F9" s="18"/>
    </row>
    <row r="10" spans="1:9">
      <c r="A10" s="18"/>
      <c r="B10" s="18"/>
      <c r="C10" s="18"/>
      <c r="D10" s="18"/>
      <c r="E10" s="18"/>
      <c r="F10" s="18"/>
    </row>
    <row r="12" spans="1:9">
      <c r="A12" s="21" t="s">
        <v>5</v>
      </c>
      <c r="B12" s="18"/>
      <c r="C12" s="18"/>
      <c r="D12" s="18"/>
      <c r="E12" s="18"/>
      <c r="F12" s="18"/>
    </row>
    <row r="13" spans="1:9">
      <c r="H13" s="1" t="s">
        <v>6</v>
      </c>
      <c r="I13" s="1" t="s">
        <v>7</v>
      </c>
    </row>
    <row r="14" spans="1:9">
      <c r="A14" s="2" t="s">
        <v>8</v>
      </c>
      <c r="B14" s="2" t="s">
        <v>9</v>
      </c>
      <c r="H14" t="s">
        <v>10</v>
      </c>
      <c r="I14" s="3">
        <f>SUMIF(OrdersTable[Product],H14,OrdersTable[Revenue])</f>
        <v>44850</v>
      </c>
    </row>
    <row r="15" spans="1:9">
      <c r="A15" s="4" t="s">
        <v>11</v>
      </c>
      <c r="B15" s="5">
        <f>COUNTA(OrdersTable[Order ID])</f>
        <v>100</v>
      </c>
      <c r="H15" t="s">
        <v>12</v>
      </c>
      <c r="I15" s="3">
        <f>SUMIF(OrdersTable[Product],H15,OrdersTable[Revenue])</f>
        <v>36480</v>
      </c>
    </row>
    <row r="16" spans="1:9">
      <c r="A16" s="4" t="s">
        <v>13</v>
      </c>
      <c r="B16" s="5">
        <f>IFERROR(AVERAGE(OrdersTable[Units Sold]),0)</f>
        <v>4.88</v>
      </c>
      <c r="H16" t="s">
        <v>14</v>
      </c>
      <c r="I16" s="3">
        <f>SUMIF(OrdersTable[Product],H16,OrdersTable[Revenue])</f>
        <v>156240</v>
      </c>
    </row>
    <row r="17" spans="1:9">
      <c r="A17" s="4" t="s">
        <v>15</v>
      </c>
      <c r="B17" s="5">
        <f>COUNTA(H14:H21)</f>
        <v>8</v>
      </c>
      <c r="H17" t="s">
        <v>16</v>
      </c>
      <c r="I17" s="3">
        <f>SUMIF(OrdersTable[Product],H17,OrdersTable[Revenue])</f>
        <v>91350</v>
      </c>
    </row>
    <row r="18" spans="1:9">
      <c r="A18" s="4" t="s">
        <v>17</v>
      </c>
      <c r="B18" s="6">
        <f>IFERROR(MIN(OrdersTable[Order Date]),"")</f>
        <v>46023</v>
      </c>
      <c r="H18" t="s">
        <v>18</v>
      </c>
      <c r="I18" s="3">
        <f>SUMIF(OrdersTable[Product],H18,OrdersTable[Revenue])</f>
        <v>8750</v>
      </c>
    </row>
    <row r="19" spans="1:9">
      <c r="A19" s="4" t="s">
        <v>19</v>
      </c>
      <c r="B19" s="6">
        <f>IFERROR(MAX(OrdersTable[Order Date]),"")</f>
        <v>46318</v>
      </c>
      <c r="H19" t="s">
        <v>20</v>
      </c>
      <c r="I19" s="3">
        <f>SUMIF(OrdersTable[Product],H19,OrdersTable[Revenue])</f>
        <v>57570</v>
      </c>
    </row>
    <row r="20" spans="1:9">
      <c r="H20" t="s">
        <v>21</v>
      </c>
      <c r="I20" s="3">
        <f>SUMIF(OrdersTable[Product],H20,OrdersTable[Revenue])</f>
        <v>38600</v>
      </c>
    </row>
    <row r="21" spans="1:9">
      <c r="H21" t="s">
        <v>22</v>
      </c>
      <c r="I21" s="3">
        <f>SUMIF(OrdersTable[Product],H21,OrdersTable[Revenue])</f>
        <v>75840</v>
      </c>
    </row>
    <row r="22" spans="1:9">
      <c r="A22" s="21" t="s">
        <v>23</v>
      </c>
      <c r="B22" s="18"/>
      <c r="C22" s="18"/>
      <c r="D22" s="18"/>
      <c r="E22" s="18"/>
      <c r="F22" s="18"/>
    </row>
    <row r="23" spans="1:9">
      <c r="A23" s="17" t="s">
        <v>24</v>
      </c>
      <c r="B23" s="18"/>
      <c r="C23" s="18"/>
      <c r="D23" s="18"/>
      <c r="E23" s="18"/>
      <c r="F23" s="18"/>
    </row>
    <row r="24" spans="1:9">
      <c r="A24" s="18"/>
      <c r="B24" s="18"/>
      <c r="C24" s="18"/>
      <c r="D24" s="18"/>
      <c r="E24" s="18"/>
      <c r="F24" s="18"/>
    </row>
    <row r="25" spans="1:9">
      <c r="A25" s="18"/>
      <c r="B25" s="18"/>
      <c r="C25" s="18"/>
      <c r="D25" s="18"/>
      <c r="E25" s="18"/>
      <c r="F25" s="18"/>
    </row>
  </sheetData>
  <mergeCells count="14">
    <mergeCell ref="A4:B4"/>
    <mergeCell ref="A2:F2"/>
    <mergeCell ref="E4:F4"/>
    <mergeCell ref="A23:F25"/>
    <mergeCell ref="A1:F1"/>
    <mergeCell ref="A8:F8"/>
    <mergeCell ref="C5:D6"/>
    <mergeCell ref="A5:B6"/>
    <mergeCell ref="A22:F22"/>
    <mergeCell ref="E5:F6"/>
    <mergeCell ref="A9:C10"/>
    <mergeCell ref="D9:F10"/>
    <mergeCell ref="A12:F12"/>
    <mergeCell ref="C4:D4"/>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pane ySplit="1" topLeftCell="A2" activePane="bottomLeft" state="frozen"/>
      <selection pane="bottomLeft"/>
    </sheetView>
  </sheetViews>
  <sheetFormatPr defaultRowHeight="15"/>
  <cols>
    <col min="1" max="1" width="15" customWidth="1"/>
    <col min="2" max="2" width="16" customWidth="1"/>
    <col min="3" max="3" width="22" customWidth="1"/>
    <col min="4" max="4" width="16" customWidth="1"/>
    <col min="5" max="6" width="13" customWidth="1"/>
    <col min="7" max="9" width="15" customWidth="1"/>
  </cols>
  <sheetData>
    <row r="1" spans="1:9">
      <c r="A1" s="7" t="s">
        <v>25</v>
      </c>
      <c r="B1" s="7" t="s">
        <v>26</v>
      </c>
      <c r="C1" s="7" t="s">
        <v>6</v>
      </c>
      <c r="D1" s="7" t="s">
        <v>27</v>
      </c>
      <c r="E1" s="7" t="s">
        <v>28</v>
      </c>
      <c r="F1" s="7" t="s">
        <v>29</v>
      </c>
      <c r="G1" s="7" t="s">
        <v>30</v>
      </c>
      <c r="H1" s="7" t="s">
        <v>7</v>
      </c>
      <c r="I1" s="7" t="s">
        <v>31</v>
      </c>
    </row>
    <row r="2" spans="1:9">
      <c r="A2" t="s">
        <v>32</v>
      </c>
      <c r="B2" s="8">
        <v>46202</v>
      </c>
      <c r="C2" t="s">
        <v>22</v>
      </c>
      <c r="D2" t="s">
        <v>33</v>
      </c>
      <c r="E2" t="s">
        <v>34</v>
      </c>
      <c r="F2">
        <v>5</v>
      </c>
      <c r="G2" s="3">
        <v>1760</v>
      </c>
      <c r="H2" s="3">
        <v>8800</v>
      </c>
      <c r="I2" s="3">
        <v>8800</v>
      </c>
    </row>
    <row r="3" spans="1:9">
      <c r="A3" t="s">
        <v>35</v>
      </c>
      <c r="B3" s="8">
        <v>46270</v>
      </c>
      <c r="C3" t="s">
        <v>21</v>
      </c>
      <c r="D3" t="s">
        <v>33</v>
      </c>
      <c r="E3" t="s">
        <v>36</v>
      </c>
      <c r="F3">
        <v>1</v>
      </c>
      <c r="G3" s="3">
        <v>400</v>
      </c>
      <c r="H3" s="3">
        <v>400</v>
      </c>
      <c r="I3" s="3">
        <v>400</v>
      </c>
    </row>
    <row r="4" spans="1:9">
      <c r="A4" t="s">
        <v>37</v>
      </c>
      <c r="B4" s="8">
        <v>46023</v>
      </c>
      <c r="C4" t="s">
        <v>22</v>
      </c>
      <c r="D4" t="s">
        <v>33</v>
      </c>
      <c r="E4" t="s">
        <v>34</v>
      </c>
      <c r="F4">
        <v>4</v>
      </c>
      <c r="G4" s="3">
        <v>1760</v>
      </c>
      <c r="H4" s="3">
        <v>7040</v>
      </c>
      <c r="I4" s="3">
        <v>7040</v>
      </c>
    </row>
    <row r="5" spans="1:9">
      <c r="A5" t="s">
        <v>38</v>
      </c>
      <c r="B5" s="8">
        <v>46196</v>
      </c>
      <c r="C5" t="s">
        <v>22</v>
      </c>
      <c r="D5" t="s">
        <v>33</v>
      </c>
      <c r="E5" t="s">
        <v>34</v>
      </c>
      <c r="F5">
        <v>6</v>
      </c>
      <c r="G5" s="3">
        <v>1600</v>
      </c>
      <c r="H5" s="3">
        <v>9600</v>
      </c>
      <c r="I5" s="3">
        <v>9600</v>
      </c>
    </row>
    <row r="6" spans="1:9">
      <c r="A6" t="s">
        <v>39</v>
      </c>
      <c r="B6" s="8">
        <v>46285</v>
      </c>
      <c r="C6" t="s">
        <v>10</v>
      </c>
      <c r="D6" t="s">
        <v>40</v>
      </c>
      <c r="E6" t="s">
        <v>36</v>
      </c>
      <c r="F6">
        <v>4</v>
      </c>
      <c r="G6" s="3">
        <v>585</v>
      </c>
      <c r="H6" s="3">
        <v>2340</v>
      </c>
      <c r="I6" s="3">
        <v>2340</v>
      </c>
    </row>
    <row r="7" spans="1:9">
      <c r="A7" t="s">
        <v>41</v>
      </c>
      <c r="B7" s="8">
        <v>46054</v>
      </c>
      <c r="C7" t="s">
        <v>21</v>
      </c>
      <c r="D7" t="s">
        <v>33</v>
      </c>
      <c r="E7" t="s">
        <v>34</v>
      </c>
      <c r="F7">
        <v>2</v>
      </c>
      <c r="G7" s="3">
        <v>360</v>
      </c>
      <c r="H7" s="3">
        <v>720</v>
      </c>
      <c r="I7" s="3">
        <v>720</v>
      </c>
    </row>
    <row r="8" spans="1:9">
      <c r="A8" t="s">
        <v>42</v>
      </c>
      <c r="B8" s="8">
        <v>46080</v>
      </c>
      <c r="C8" t="s">
        <v>12</v>
      </c>
      <c r="D8" t="s">
        <v>40</v>
      </c>
      <c r="E8" t="s">
        <v>43</v>
      </c>
      <c r="F8">
        <v>7</v>
      </c>
      <c r="G8" s="3">
        <v>1200</v>
      </c>
      <c r="H8" s="3">
        <v>8400</v>
      </c>
      <c r="I8" s="3">
        <v>8400</v>
      </c>
    </row>
    <row r="9" spans="1:9">
      <c r="A9" t="s">
        <v>44</v>
      </c>
      <c r="B9" s="8">
        <v>46308</v>
      </c>
      <c r="C9" t="s">
        <v>14</v>
      </c>
      <c r="D9" t="s">
        <v>40</v>
      </c>
      <c r="E9" t="s">
        <v>34</v>
      </c>
      <c r="F9">
        <v>6</v>
      </c>
      <c r="G9" s="3">
        <v>1980</v>
      </c>
      <c r="H9" s="3">
        <v>11880</v>
      </c>
      <c r="I9" s="3">
        <v>11880</v>
      </c>
    </row>
    <row r="10" spans="1:9">
      <c r="A10" t="s">
        <v>45</v>
      </c>
      <c r="B10" s="8">
        <v>46065</v>
      </c>
      <c r="C10" t="s">
        <v>10</v>
      </c>
      <c r="D10" t="s">
        <v>40</v>
      </c>
      <c r="E10" t="s">
        <v>43</v>
      </c>
      <c r="F10">
        <v>3</v>
      </c>
      <c r="G10" s="3">
        <v>715</v>
      </c>
      <c r="H10" s="3">
        <v>2145</v>
      </c>
      <c r="I10" s="3">
        <v>2145</v>
      </c>
    </row>
    <row r="11" spans="1:9">
      <c r="A11" t="s">
        <v>46</v>
      </c>
      <c r="B11" s="8">
        <v>46219</v>
      </c>
      <c r="C11" t="s">
        <v>21</v>
      </c>
      <c r="D11" t="s">
        <v>33</v>
      </c>
      <c r="E11" t="s">
        <v>47</v>
      </c>
      <c r="F11">
        <v>8</v>
      </c>
      <c r="G11" s="3">
        <v>400</v>
      </c>
      <c r="H11" s="3">
        <v>3200</v>
      </c>
      <c r="I11" s="3">
        <v>3200</v>
      </c>
    </row>
    <row r="12" spans="1:9">
      <c r="A12" t="s">
        <v>48</v>
      </c>
      <c r="B12" s="8">
        <v>46205</v>
      </c>
      <c r="C12" t="s">
        <v>12</v>
      </c>
      <c r="D12" t="s">
        <v>40</v>
      </c>
      <c r="E12" t="s">
        <v>36</v>
      </c>
      <c r="F12">
        <v>4</v>
      </c>
      <c r="G12" s="3">
        <v>1200</v>
      </c>
      <c r="H12" s="3">
        <v>4800</v>
      </c>
      <c r="I12" s="3">
        <v>4800</v>
      </c>
    </row>
    <row r="13" spans="1:9">
      <c r="A13" t="s">
        <v>49</v>
      </c>
      <c r="B13" s="8">
        <v>46152</v>
      </c>
      <c r="C13" t="s">
        <v>21</v>
      </c>
      <c r="D13" t="s">
        <v>33</v>
      </c>
      <c r="E13" t="s">
        <v>34</v>
      </c>
      <c r="F13">
        <v>5</v>
      </c>
      <c r="G13" s="3">
        <v>360</v>
      </c>
      <c r="H13" s="3">
        <v>1800</v>
      </c>
      <c r="I13" s="3">
        <v>1800</v>
      </c>
    </row>
    <row r="14" spans="1:9">
      <c r="A14" t="s">
        <v>50</v>
      </c>
      <c r="B14" s="8">
        <v>46284</v>
      </c>
      <c r="C14" t="s">
        <v>20</v>
      </c>
      <c r="D14" t="s">
        <v>51</v>
      </c>
      <c r="E14" t="s">
        <v>34</v>
      </c>
      <c r="F14">
        <v>6</v>
      </c>
      <c r="G14" s="3">
        <v>950</v>
      </c>
      <c r="H14" s="3">
        <v>5700</v>
      </c>
      <c r="I14" s="3">
        <v>5700</v>
      </c>
    </row>
    <row r="15" spans="1:9">
      <c r="A15" t="s">
        <v>52</v>
      </c>
      <c r="B15" s="8">
        <v>46039</v>
      </c>
      <c r="C15" t="s">
        <v>10</v>
      </c>
      <c r="D15" t="s">
        <v>40</v>
      </c>
      <c r="E15" t="s">
        <v>47</v>
      </c>
      <c r="F15">
        <v>7</v>
      </c>
      <c r="G15" s="3">
        <v>650</v>
      </c>
      <c r="H15" s="3">
        <v>4550</v>
      </c>
      <c r="I15" s="3">
        <v>4550</v>
      </c>
    </row>
    <row r="16" spans="1:9">
      <c r="A16" t="s">
        <v>53</v>
      </c>
      <c r="B16" s="8">
        <v>46221</v>
      </c>
      <c r="C16" t="s">
        <v>16</v>
      </c>
      <c r="D16" t="s">
        <v>51</v>
      </c>
      <c r="E16" t="s">
        <v>34</v>
      </c>
      <c r="F16">
        <v>7</v>
      </c>
      <c r="G16" s="3">
        <v>1305</v>
      </c>
      <c r="H16" s="3">
        <v>9135</v>
      </c>
      <c r="I16" s="3">
        <v>9135</v>
      </c>
    </row>
    <row r="17" spans="1:9">
      <c r="A17" t="s">
        <v>54</v>
      </c>
      <c r="B17" s="8">
        <v>46062</v>
      </c>
      <c r="C17" t="s">
        <v>12</v>
      </c>
      <c r="D17" t="s">
        <v>40</v>
      </c>
      <c r="E17" t="s">
        <v>36</v>
      </c>
      <c r="F17">
        <v>4</v>
      </c>
      <c r="G17" s="3">
        <v>1200</v>
      </c>
      <c r="H17" s="3">
        <v>4800</v>
      </c>
      <c r="I17" s="3">
        <v>4800</v>
      </c>
    </row>
    <row r="18" spans="1:9">
      <c r="A18" t="s">
        <v>55</v>
      </c>
      <c r="B18" s="8">
        <v>46278</v>
      </c>
      <c r="C18" t="s">
        <v>10</v>
      </c>
      <c r="D18" t="s">
        <v>40</v>
      </c>
      <c r="E18" t="s">
        <v>36</v>
      </c>
      <c r="F18">
        <v>7</v>
      </c>
      <c r="G18" s="3">
        <v>650</v>
      </c>
      <c r="H18" s="3">
        <v>4550</v>
      </c>
      <c r="I18" s="3">
        <v>4550</v>
      </c>
    </row>
    <row r="19" spans="1:9">
      <c r="A19" t="s">
        <v>56</v>
      </c>
      <c r="B19" s="8">
        <v>46129</v>
      </c>
      <c r="C19" t="s">
        <v>10</v>
      </c>
      <c r="D19" t="s">
        <v>40</v>
      </c>
      <c r="E19" t="s">
        <v>36</v>
      </c>
      <c r="F19">
        <v>8</v>
      </c>
      <c r="G19" s="3">
        <v>650</v>
      </c>
      <c r="H19" s="3">
        <v>5200</v>
      </c>
      <c r="I19" s="3">
        <v>5200</v>
      </c>
    </row>
    <row r="20" spans="1:9">
      <c r="A20" t="s">
        <v>57</v>
      </c>
      <c r="B20" s="8">
        <v>46269</v>
      </c>
      <c r="C20" t="s">
        <v>18</v>
      </c>
      <c r="D20" t="s">
        <v>58</v>
      </c>
      <c r="E20" t="s">
        <v>34</v>
      </c>
      <c r="F20">
        <v>8</v>
      </c>
      <c r="G20" s="3">
        <v>250</v>
      </c>
      <c r="H20" s="3">
        <v>2000</v>
      </c>
      <c r="I20" s="3">
        <v>2000</v>
      </c>
    </row>
    <row r="21" spans="1:9">
      <c r="A21" t="s">
        <v>59</v>
      </c>
      <c r="B21" s="8">
        <v>46209</v>
      </c>
      <c r="C21" t="s">
        <v>14</v>
      </c>
      <c r="D21" t="s">
        <v>40</v>
      </c>
      <c r="E21" t="s">
        <v>34</v>
      </c>
      <c r="F21">
        <v>8</v>
      </c>
      <c r="G21" s="3">
        <v>1980</v>
      </c>
      <c r="H21" s="3">
        <v>15840</v>
      </c>
      <c r="I21" s="3">
        <v>15840</v>
      </c>
    </row>
    <row r="22" spans="1:9">
      <c r="A22" t="s">
        <v>60</v>
      </c>
      <c r="B22" s="8">
        <v>46026</v>
      </c>
      <c r="C22" t="s">
        <v>16</v>
      </c>
      <c r="D22" t="s">
        <v>51</v>
      </c>
      <c r="E22" t="s">
        <v>36</v>
      </c>
      <c r="F22">
        <v>4</v>
      </c>
      <c r="G22" s="3">
        <v>1595</v>
      </c>
      <c r="H22" s="3">
        <v>6380</v>
      </c>
      <c r="I22" s="3">
        <v>6380</v>
      </c>
    </row>
    <row r="23" spans="1:9">
      <c r="A23" t="s">
        <v>61</v>
      </c>
      <c r="B23" s="8">
        <v>46027</v>
      </c>
      <c r="C23" t="s">
        <v>20</v>
      </c>
      <c r="D23" t="s">
        <v>51</v>
      </c>
      <c r="E23" t="s">
        <v>47</v>
      </c>
      <c r="F23">
        <v>3</v>
      </c>
      <c r="G23" s="3">
        <v>950</v>
      </c>
      <c r="H23" s="3">
        <v>2850</v>
      </c>
      <c r="I23" s="3">
        <v>2850</v>
      </c>
    </row>
    <row r="24" spans="1:9">
      <c r="A24" t="s">
        <v>62</v>
      </c>
      <c r="B24" s="8">
        <v>46302</v>
      </c>
      <c r="C24" t="s">
        <v>16</v>
      </c>
      <c r="D24" t="s">
        <v>51</v>
      </c>
      <c r="E24" t="s">
        <v>34</v>
      </c>
      <c r="F24">
        <v>2</v>
      </c>
      <c r="G24" s="3">
        <v>1450</v>
      </c>
      <c r="H24" s="3">
        <v>2900</v>
      </c>
      <c r="I24" s="3">
        <v>2900</v>
      </c>
    </row>
    <row r="25" spans="1:9">
      <c r="A25" t="s">
        <v>63</v>
      </c>
      <c r="B25" s="8">
        <v>46083</v>
      </c>
      <c r="C25" t="s">
        <v>10</v>
      </c>
      <c r="D25" t="s">
        <v>40</v>
      </c>
      <c r="E25" t="s">
        <v>34</v>
      </c>
      <c r="F25">
        <v>6</v>
      </c>
      <c r="G25" s="3">
        <v>650</v>
      </c>
      <c r="H25" s="3">
        <v>3900</v>
      </c>
      <c r="I25" s="3">
        <v>3900</v>
      </c>
    </row>
    <row r="26" spans="1:9">
      <c r="A26" t="s">
        <v>64</v>
      </c>
      <c r="B26" s="8">
        <v>46157</v>
      </c>
      <c r="C26" t="s">
        <v>22</v>
      </c>
      <c r="D26" t="s">
        <v>33</v>
      </c>
      <c r="E26" t="s">
        <v>43</v>
      </c>
      <c r="F26">
        <v>8</v>
      </c>
      <c r="G26" s="3">
        <v>1600</v>
      </c>
      <c r="H26" s="3">
        <v>12800</v>
      </c>
      <c r="I26" s="3">
        <v>12800</v>
      </c>
    </row>
    <row r="27" spans="1:9">
      <c r="A27" t="s">
        <v>65</v>
      </c>
      <c r="B27" s="8">
        <v>46046</v>
      </c>
      <c r="C27" t="s">
        <v>14</v>
      </c>
      <c r="D27" t="s">
        <v>40</v>
      </c>
      <c r="E27" t="s">
        <v>36</v>
      </c>
      <c r="F27">
        <v>8</v>
      </c>
      <c r="G27" s="3">
        <v>1800</v>
      </c>
      <c r="H27" s="3">
        <v>14400</v>
      </c>
      <c r="I27" s="3">
        <v>14400</v>
      </c>
    </row>
    <row r="28" spans="1:9">
      <c r="A28" t="s">
        <v>66</v>
      </c>
      <c r="B28" s="8">
        <v>46168</v>
      </c>
      <c r="C28" t="s">
        <v>20</v>
      </c>
      <c r="D28" t="s">
        <v>51</v>
      </c>
      <c r="E28" t="s">
        <v>36</v>
      </c>
      <c r="F28">
        <v>8</v>
      </c>
      <c r="G28" s="3">
        <v>950</v>
      </c>
      <c r="H28" s="3">
        <v>7600</v>
      </c>
      <c r="I28" s="3">
        <v>7600</v>
      </c>
    </row>
    <row r="29" spans="1:9">
      <c r="A29" t="s">
        <v>67</v>
      </c>
      <c r="B29" s="8">
        <v>46090</v>
      </c>
      <c r="C29" t="s">
        <v>10</v>
      </c>
      <c r="D29" t="s">
        <v>40</v>
      </c>
      <c r="E29" t="s">
        <v>36</v>
      </c>
      <c r="F29">
        <v>1</v>
      </c>
      <c r="G29" s="3">
        <v>585</v>
      </c>
      <c r="H29" s="3">
        <v>585</v>
      </c>
      <c r="I29" s="3">
        <v>585</v>
      </c>
    </row>
    <row r="30" spans="1:9">
      <c r="A30" t="s">
        <v>68</v>
      </c>
      <c r="B30" s="8">
        <v>46125</v>
      </c>
      <c r="C30" t="s">
        <v>21</v>
      </c>
      <c r="D30" t="s">
        <v>33</v>
      </c>
      <c r="E30" t="s">
        <v>43</v>
      </c>
      <c r="F30">
        <v>3</v>
      </c>
      <c r="G30" s="3">
        <v>400</v>
      </c>
      <c r="H30" s="3">
        <v>1200</v>
      </c>
      <c r="I30" s="3">
        <v>1200</v>
      </c>
    </row>
    <row r="31" spans="1:9">
      <c r="A31" t="s">
        <v>69</v>
      </c>
      <c r="B31" s="8">
        <v>46314</v>
      </c>
      <c r="C31" t="s">
        <v>22</v>
      </c>
      <c r="D31" t="s">
        <v>33</v>
      </c>
      <c r="E31" t="s">
        <v>36</v>
      </c>
      <c r="F31">
        <v>1</v>
      </c>
      <c r="G31" s="3">
        <v>1760</v>
      </c>
      <c r="H31" s="3">
        <v>1760</v>
      </c>
      <c r="I31" s="3">
        <v>1760</v>
      </c>
    </row>
    <row r="32" spans="1:9">
      <c r="A32" t="s">
        <v>70</v>
      </c>
      <c r="B32" s="8">
        <v>46070</v>
      </c>
      <c r="C32" t="s">
        <v>10</v>
      </c>
      <c r="D32" t="s">
        <v>40</v>
      </c>
      <c r="E32" t="s">
        <v>43</v>
      </c>
      <c r="F32">
        <v>7</v>
      </c>
      <c r="G32" s="3">
        <v>650</v>
      </c>
      <c r="H32" s="3">
        <v>4550</v>
      </c>
      <c r="I32" s="3">
        <v>4550</v>
      </c>
    </row>
    <row r="33" spans="1:9">
      <c r="A33" t="s">
        <v>71</v>
      </c>
      <c r="B33" s="8">
        <v>46220</v>
      </c>
      <c r="C33" t="s">
        <v>16</v>
      </c>
      <c r="D33" t="s">
        <v>51</v>
      </c>
      <c r="E33" t="s">
        <v>34</v>
      </c>
      <c r="F33">
        <v>6</v>
      </c>
      <c r="G33" s="3">
        <v>1450</v>
      </c>
      <c r="H33" s="3">
        <v>8700</v>
      </c>
      <c r="I33" s="3">
        <v>8700</v>
      </c>
    </row>
    <row r="34" spans="1:9">
      <c r="A34" t="s">
        <v>72</v>
      </c>
      <c r="B34" s="8">
        <v>46042</v>
      </c>
      <c r="C34" t="s">
        <v>10</v>
      </c>
      <c r="D34" t="s">
        <v>40</v>
      </c>
      <c r="E34" t="s">
        <v>47</v>
      </c>
      <c r="F34">
        <v>3</v>
      </c>
      <c r="G34" s="3">
        <v>585</v>
      </c>
      <c r="H34" s="3">
        <v>1755</v>
      </c>
      <c r="I34" s="3">
        <v>1755</v>
      </c>
    </row>
    <row r="35" spans="1:9">
      <c r="A35" t="s">
        <v>73</v>
      </c>
      <c r="B35" s="8">
        <v>46073</v>
      </c>
      <c r="C35" t="s">
        <v>21</v>
      </c>
      <c r="D35" t="s">
        <v>33</v>
      </c>
      <c r="E35" t="s">
        <v>36</v>
      </c>
      <c r="F35">
        <v>4</v>
      </c>
      <c r="G35" s="3">
        <v>400</v>
      </c>
      <c r="H35" s="3">
        <v>1600</v>
      </c>
      <c r="I35" s="3">
        <v>1600</v>
      </c>
    </row>
    <row r="36" spans="1:9">
      <c r="A36" t="s">
        <v>74</v>
      </c>
      <c r="B36" s="8">
        <v>46300</v>
      </c>
      <c r="C36" t="s">
        <v>16</v>
      </c>
      <c r="D36" t="s">
        <v>51</v>
      </c>
      <c r="E36" t="s">
        <v>43</v>
      </c>
      <c r="F36">
        <v>5</v>
      </c>
      <c r="G36" s="3">
        <v>1450</v>
      </c>
      <c r="H36" s="3">
        <v>7250</v>
      </c>
      <c r="I36" s="3">
        <v>7250</v>
      </c>
    </row>
    <row r="37" spans="1:9">
      <c r="A37" t="s">
        <v>75</v>
      </c>
      <c r="B37" s="8">
        <v>46224</v>
      </c>
      <c r="C37" t="s">
        <v>12</v>
      </c>
      <c r="D37" t="s">
        <v>40</v>
      </c>
      <c r="E37" t="s">
        <v>34</v>
      </c>
      <c r="F37">
        <v>4</v>
      </c>
      <c r="G37" s="3">
        <v>1320</v>
      </c>
      <c r="H37" s="3">
        <v>5280</v>
      </c>
      <c r="I37" s="3">
        <v>5280</v>
      </c>
    </row>
    <row r="38" spans="1:9">
      <c r="A38" t="s">
        <v>76</v>
      </c>
      <c r="B38" s="8">
        <v>46188</v>
      </c>
      <c r="C38" t="s">
        <v>12</v>
      </c>
      <c r="D38" t="s">
        <v>40</v>
      </c>
      <c r="E38" t="s">
        <v>47</v>
      </c>
      <c r="F38">
        <v>7</v>
      </c>
      <c r="G38" s="3">
        <v>1200</v>
      </c>
      <c r="H38" s="3">
        <v>8400</v>
      </c>
      <c r="I38" s="3">
        <v>8400</v>
      </c>
    </row>
    <row r="39" spans="1:9">
      <c r="A39" t="s">
        <v>77</v>
      </c>
      <c r="B39" s="8">
        <v>46182</v>
      </c>
      <c r="C39" t="s">
        <v>20</v>
      </c>
      <c r="D39" t="s">
        <v>51</v>
      </c>
      <c r="E39" t="s">
        <v>36</v>
      </c>
      <c r="F39">
        <v>3</v>
      </c>
      <c r="G39" s="3">
        <v>855</v>
      </c>
      <c r="H39" s="3">
        <v>2565</v>
      </c>
      <c r="I39" s="3">
        <v>2565</v>
      </c>
    </row>
    <row r="40" spans="1:9">
      <c r="A40" t="s">
        <v>78</v>
      </c>
      <c r="B40" s="8">
        <v>46113</v>
      </c>
      <c r="C40" t="s">
        <v>14</v>
      </c>
      <c r="D40" t="s">
        <v>40</v>
      </c>
      <c r="E40" t="s">
        <v>47</v>
      </c>
      <c r="F40">
        <v>7</v>
      </c>
      <c r="G40" s="3">
        <v>1800</v>
      </c>
      <c r="H40" s="3">
        <v>12600</v>
      </c>
      <c r="I40" s="3">
        <v>12600</v>
      </c>
    </row>
    <row r="41" spans="1:9">
      <c r="A41" t="s">
        <v>79</v>
      </c>
      <c r="B41" s="8">
        <v>46250</v>
      </c>
      <c r="C41" t="s">
        <v>16</v>
      </c>
      <c r="D41" t="s">
        <v>51</v>
      </c>
      <c r="E41" t="s">
        <v>43</v>
      </c>
      <c r="F41">
        <v>8</v>
      </c>
      <c r="G41" s="3">
        <v>1595</v>
      </c>
      <c r="H41" s="3">
        <v>12760</v>
      </c>
      <c r="I41" s="3">
        <v>12760</v>
      </c>
    </row>
    <row r="42" spans="1:9">
      <c r="A42" t="s">
        <v>80</v>
      </c>
      <c r="B42" s="8">
        <v>46197</v>
      </c>
      <c r="C42" t="s">
        <v>14</v>
      </c>
      <c r="D42" t="s">
        <v>40</v>
      </c>
      <c r="E42" t="s">
        <v>43</v>
      </c>
      <c r="F42">
        <v>1</v>
      </c>
      <c r="G42" s="3">
        <v>1980</v>
      </c>
      <c r="H42" s="3">
        <v>1980</v>
      </c>
      <c r="I42" s="3">
        <v>1980</v>
      </c>
    </row>
    <row r="43" spans="1:9">
      <c r="A43" t="s">
        <v>81</v>
      </c>
      <c r="B43" s="8">
        <v>46137</v>
      </c>
      <c r="C43" t="s">
        <v>16</v>
      </c>
      <c r="D43" t="s">
        <v>51</v>
      </c>
      <c r="E43" t="s">
        <v>47</v>
      </c>
      <c r="F43">
        <v>6</v>
      </c>
      <c r="G43" s="3">
        <v>1305</v>
      </c>
      <c r="H43" s="3">
        <v>7830</v>
      </c>
      <c r="I43" s="3">
        <v>7830</v>
      </c>
    </row>
    <row r="44" spans="1:9">
      <c r="A44" t="s">
        <v>82</v>
      </c>
      <c r="B44" s="8">
        <v>46126</v>
      </c>
      <c r="C44" t="s">
        <v>20</v>
      </c>
      <c r="D44" t="s">
        <v>51</v>
      </c>
      <c r="E44" t="s">
        <v>43</v>
      </c>
      <c r="F44">
        <v>6</v>
      </c>
      <c r="G44" s="3">
        <v>950</v>
      </c>
      <c r="H44" s="3">
        <v>5700</v>
      </c>
      <c r="I44" s="3">
        <v>5700</v>
      </c>
    </row>
    <row r="45" spans="1:9">
      <c r="A45" t="s">
        <v>83</v>
      </c>
      <c r="B45" s="8">
        <v>46098</v>
      </c>
      <c r="C45" t="s">
        <v>18</v>
      </c>
      <c r="D45" t="s">
        <v>58</v>
      </c>
      <c r="E45" t="s">
        <v>36</v>
      </c>
      <c r="F45">
        <v>4</v>
      </c>
      <c r="G45" s="3">
        <v>275</v>
      </c>
      <c r="H45" s="3">
        <v>1100</v>
      </c>
      <c r="I45" s="3">
        <v>1100</v>
      </c>
    </row>
    <row r="46" spans="1:9">
      <c r="A46" t="s">
        <v>84</v>
      </c>
      <c r="B46" s="8">
        <v>46279</v>
      </c>
      <c r="C46" t="s">
        <v>14</v>
      </c>
      <c r="D46" t="s">
        <v>40</v>
      </c>
      <c r="E46" t="s">
        <v>34</v>
      </c>
      <c r="F46">
        <v>8</v>
      </c>
      <c r="G46" s="3">
        <v>1800</v>
      </c>
      <c r="H46" s="3">
        <v>14400</v>
      </c>
      <c r="I46" s="3">
        <v>14400</v>
      </c>
    </row>
    <row r="47" spans="1:9">
      <c r="A47" t="s">
        <v>85</v>
      </c>
      <c r="B47" s="8">
        <v>46139</v>
      </c>
      <c r="C47" t="s">
        <v>22</v>
      </c>
      <c r="D47" t="s">
        <v>33</v>
      </c>
      <c r="E47" t="s">
        <v>43</v>
      </c>
      <c r="F47">
        <v>8</v>
      </c>
      <c r="G47" s="3">
        <v>1440</v>
      </c>
      <c r="H47" s="3">
        <v>11520</v>
      </c>
      <c r="I47" s="3">
        <v>11520</v>
      </c>
    </row>
    <row r="48" spans="1:9">
      <c r="A48" t="s">
        <v>86</v>
      </c>
      <c r="B48" s="8">
        <v>46077</v>
      </c>
      <c r="C48" t="s">
        <v>21</v>
      </c>
      <c r="D48" t="s">
        <v>33</v>
      </c>
      <c r="E48" t="s">
        <v>36</v>
      </c>
      <c r="F48">
        <v>8</v>
      </c>
      <c r="G48" s="3">
        <v>360</v>
      </c>
      <c r="H48" s="3">
        <v>2880</v>
      </c>
      <c r="I48" s="3">
        <v>2880</v>
      </c>
    </row>
    <row r="49" spans="1:9">
      <c r="A49" t="s">
        <v>87</v>
      </c>
      <c r="B49" s="8">
        <v>46278</v>
      </c>
      <c r="C49" t="s">
        <v>20</v>
      </c>
      <c r="D49" t="s">
        <v>51</v>
      </c>
      <c r="E49" t="s">
        <v>36</v>
      </c>
      <c r="F49">
        <v>1</v>
      </c>
      <c r="G49" s="3">
        <v>950</v>
      </c>
      <c r="H49" s="3">
        <v>950</v>
      </c>
      <c r="I49" s="3">
        <v>950</v>
      </c>
    </row>
    <row r="50" spans="1:9">
      <c r="A50" t="s">
        <v>88</v>
      </c>
      <c r="B50" s="8">
        <v>46267</v>
      </c>
      <c r="C50" t="s">
        <v>18</v>
      </c>
      <c r="D50" t="s">
        <v>58</v>
      </c>
      <c r="E50" t="s">
        <v>34</v>
      </c>
      <c r="F50">
        <v>3</v>
      </c>
      <c r="G50" s="3">
        <v>250</v>
      </c>
      <c r="H50" s="3">
        <v>750</v>
      </c>
      <c r="I50" s="3">
        <v>750</v>
      </c>
    </row>
    <row r="51" spans="1:9">
      <c r="A51" t="s">
        <v>89</v>
      </c>
      <c r="B51" s="8">
        <v>46046</v>
      </c>
      <c r="C51" t="s">
        <v>14</v>
      </c>
      <c r="D51" t="s">
        <v>40</v>
      </c>
      <c r="E51" t="s">
        <v>43</v>
      </c>
      <c r="F51">
        <v>5</v>
      </c>
      <c r="G51" s="3">
        <v>1800</v>
      </c>
      <c r="H51" s="3">
        <v>9000</v>
      </c>
      <c r="I51" s="3">
        <v>9000</v>
      </c>
    </row>
    <row r="52" spans="1:9">
      <c r="A52" t="s">
        <v>90</v>
      </c>
      <c r="B52" s="8">
        <v>46167</v>
      </c>
      <c r="C52" t="s">
        <v>20</v>
      </c>
      <c r="D52" t="s">
        <v>51</v>
      </c>
      <c r="E52" t="s">
        <v>43</v>
      </c>
      <c r="F52">
        <v>5</v>
      </c>
      <c r="G52" s="3">
        <v>950</v>
      </c>
      <c r="H52" s="3">
        <v>4750</v>
      </c>
      <c r="I52" s="3">
        <v>4750</v>
      </c>
    </row>
    <row r="53" spans="1:9">
      <c r="A53" t="s">
        <v>91</v>
      </c>
      <c r="B53" s="8">
        <v>46155</v>
      </c>
      <c r="C53" t="s">
        <v>20</v>
      </c>
      <c r="D53" t="s">
        <v>51</v>
      </c>
      <c r="E53" t="s">
        <v>47</v>
      </c>
      <c r="F53">
        <v>3</v>
      </c>
      <c r="G53" s="3">
        <v>950</v>
      </c>
      <c r="H53" s="3">
        <v>2850</v>
      </c>
      <c r="I53" s="3">
        <v>2850</v>
      </c>
    </row>
    <row r="54" spans="1:9">
      <c r="A54" t="s">
        <v>92</v>
      </c>
      <c r="B54" s="8">
        <v>46157</v>
      </c>
      <c r="C54" t="s">
        <v>21</v>
      </c>
      <c r="D54" t="s">
        <v>33</v>
      </c>
      <c r="E54" t="s">
        <v>36</v>
      </c>
      <c r="F54">
        <v>7</v>
      </c>
      <c r="G54" s="3">
        <v>400</v>
      </c>
      <c r="H54" s="3">
        <v>2800</v>
      </c>
      <c r="I54" s="3">
        <v>2800</v>
      </c>
    </row>
    <row r="55" spans="1:9">
      <c r="A55" t="s">
        <v>93</v>
      </c>
      <c r="B55" s="8">
        <v>46219</v>
      </c>
      <c r="C55" t="s">
        <v>21</v>
      </c>
      <c r="D55" t="s">
        <v>33</v>
      </c>
      <c r="E55" t="s">
        <v>43</v>
      </c>
      <c r="F55">
        <v>7</v>
      </c>
      <c r="G55" s="3">
        <v>400</v>
      </c>
      <c r="H55" s="3">
        <v>2800</v>
      </c>
      <c r="I55" s="3">
        <v>2800</v>
      </c>
    </row>
    <row r="56" spans="1:9">
      <c r="A56" t="s">
        <v>94</v>
      </c>
      <c r="B56" s="8">
        <v>46153</v>
      </c>
      <c r="C56" t="s">
        <v>14</v>
      </c>
      <c r="D56" t="s">
        <v>40</v>
      </c>
      <c r="E56" t="s">
        <v>47</v>
      </c>
      <c r="F56">
        <v>3</v>
      </c>
      <c r="G56" s="3">
        <v>1800</v>
      </c>
      <c r="H56" s="3">
        <v>5400</v>
      </c>
      <c r="I56" s="3">
        <v>5400</v>
      </c>
    </row>
    <row r="57" spans="1:9">
      <c r="A57" t="s">
        <v>95</v>
      </c>
      <c r="B57" s="8">
        <v>46179</v>
      </c>
      <c r="C57" t="s">
        <v>18</v>
      </c>
      <c r="D57" t="s">
        <v>58</v>
      </c>
      <c r="E57" t="s">
        <v>34</v>
      </c>
      <c r="F57">
        <v>1</v>
      </c>
      <c r="G57" s="3">
        <v>250</v>
      </c>
      <c r="H57" s="3">
        <v>250</v>
      </c>
      <c r="I57" s="3">
        <v>250</v>
      </c>
    </row>
    <row r="58" spans="1:9">
      <c r="A58" t="s">
        <v>96</v>
      </c>
      <c r="B58" s="8">
        <v>46307</v>
      </c>
      <c r="C58" t="s">
        <v>18</v>
      </c>
      <c r="D58" t="s">
        <v>58</v>
      </c>
      <c r="E58" t="s">
        <v>36</v>
      </c>
      <c r="F58">
        <v>4</v>
      </c>
      <c r="G58" s="3">
        <v>225</v>
      </c>
      <c r="H58" s="3">
        <v>900</v>
      </c>
      <c r="I58" s="3">
        <v>900</v>
      </c>
    </row>
    <row r="59" spans="1:9">
      <c r="A59" t="s">
        <v>97</v>
      </c>
      <c r="B59" s="8">
        <v>46123</v>
      </c>
      <c r="C59" t="s">
        <v>10</v>
      </c>
      <c r="D59" t="s">
        <v>40</v>
      </c>
      <c r="E59" t="s">
        <v>34</v>
      </c>
      <c r="F59">
        <v>1</v>
      </c>
      <c r="G59" s="3">
        <v>650</v>
      </c>
      <c r="H59" s="3">
        <v>650</v>
      </c>
      <c r="I59" s="3">
        <v>650</v>
      </c>
    </row>
    <row r="60" spans="1:9">
      <c r="A60" t="s">
        <v>98</v>
      </c>
      <c r="B60" s="8">
        <v>46117</v>
      </c>
      <c r="C60" t="s">
        <v>16</v>
      </c>
      <c r="D60" t="s">
        <v>51</v>
      </c>
      <c r="E60" t="s">
        <v>36</v>
      </c>
      <c r="F60">
        <v>5</v>
      </c>
      <c r="G60" s="3">
        <v>1450</v>
      </c>
      <c r="H60" s="3">
        <v>7250</v>
      </c>
      <c r="I60" s="3">
        <v>7250</v>
      </c>
    </row>
    <row r="61" spans="1:9">
      <c r="A61" t="s">
        <v>99</v>
      </c>
      <c r="B61" s="8">
        <v>46278</v>
      </c>
      <c r="C61" t="s">
        <v>10</v>
      </c>
      <c r="D61" t="s">
        <v>40</v>
      </c>
      <c r="E61" t="s">
        <v>34</v>
      </c>
      <c r="F61">
        <v>2</v>
      </c>
      <c r="G61" s="3">
        <v>650</v>
      </c>
      <c r="H61" s="3">
        <v>1300</v>
      </c>
      <c r="I61" s="3">
        <v>1300</v>
      </c>
    </row>
    <row r="62" spans="1:9">
      <c r="A62" t="s">
        <v>100</v>
      </c>
      <c r="B62" s="8">
        <v>46026</v>
      </c>
      <c r="C62" t="s">
        <v>22</v>
      </c>
      <c r="D62" t="s">
        <v>33</v>
      </c>
      <c r="E62" t="s">
        <v>34</v>
      </c>
      <c r="F62">
        <v>2</v>
      </c>
      <c r="G62" s="3">
        <v>1760</v>
      </c>
      <c r="H62" s="3">
        <v>3520</v>
      </c>
      <c r="I62" s="3">
        <v>3520</v>
      </c>
    </row>
    <row r="63" spans="1:9">
      <c r="A63" t="s">
        <v>101</v>
      </c>
      <c r="B63" s="8">
        <v>46262</v>
      </c>
      <c r="C63" t="s">
        <v>21</v>
      </c>
      <c r="D63" t="s">
        <v>33</v>
      </c>
      <c r="E63" t="s">
        <v>36</v>
      </c>
      <c r="F63">
        <v>8</v>
      </c>
      <c r="G63" s="3">
        <v>400</v>
      </c>
      <c r="H63" s="3">
        <v>3200</v>
      </c>
      <c r="I63" s="3">
        <v>3200</v>
      </c>
    </row>
    <row r="64" spans="1:9">
      <c r="A64" t="s">
        <v>102</v>
      </c>
      <c r="B64" s="8">
        <v>46037</v>
      </c>
      <c r="C64" t="s">
        <v>21</v>
      </c>
      <c r="D64" t="s">
        <v>33</v>
      </c>
      <c r="E64" t="s">
        <v>36</v>
      </c>
      <c r="F64">
        <v>7</v>
      </c>
      <c r="G64" s="3">
        <v>440</v>
      </c>
      <c r="H64" s="3">
        <v>3080</v>
      </c>
      <c r="I64" s="3">
        <v>3080</v>
      </c>
    </row>
    <row r="65" spans="1:9">
      <c r="A65" t="s">
        <v>103</v>
      </c>
      <c r="B65" s="8">
        <v>46210</v>
      </c>
      <c r="C65" t="s">
        <v>10</v>
      </c>
      <c r="D65" t="s">
        <v>40</v>
      </c>
      <c r="E65" t="s">
        <v>47</v>
      </c>
      <c r="F65">
        <v>3</v>
      </c>
      <c r="G65" s="3">
        <v>650</v>
      </c>
      <c r="H65" s="3">
        <v>1950</v>
      </c>
      <c r="I65" s="3">
        <v>1950</v>
      </c>
    </row>
    <row r="66" spans="1:9">
      <c r="A66" t="s">
        <v>104</v>
      </c>
      <c r="B66" s="8">
        <v>46214</v>
      </c>
      <c r="C66" t="s">
        <v>21</v>
      </c>
      <c r="D66" t="s">
        <v>33</v>
      </c>
      <c r="E66" t="s">
        <v>47</v>
      </c>
      <c r="F66">
        <v>7</v>
      </c>
      <c r="G66" s="3">
        <v>440</v>
      </c>
      <c r="H66" s="3">
        <v>3080</v>
      </c>
      <c r="I66" s="3">
        <v>3080</v>
      </c>
    </row>
    <row r="67" spans="1:9">
      <c r="A67" t="s">
        <v>105</v>
      </c>
      <c r="B67" s="8">
        <v>46141</v>
      </c>
      <c r="C67" t="s">
        <v>14</v>
      </c>
      <c r="D67" t="s">
        <v>40</v>
      </c>
      <c r="E67" t="s">
        <v>47</v>
      </c>
      <c r="F67">
        <v>6</v>
      </c>
      <c r="G67" s="3">
        <v>1620</v>
      </c>
      <c r="H67" s="3">
        <v>9720</v>
      </c>
      <c r="I67" s="3">
        <v>9720</v>
      </c>
    </row>
    <row r="68" spans="1:9">
      <c r="A68" t="s">
        <v>106</v>
      </c>
      <c r="B68" s="8">
        <v>46027</v>
      </c>
      <c r="C68" t="s">
        <v>21</v>
      </c>
      <c r="D68" t="s">
        <v>33</v>
      </c>
      <c r="E68" t="s">
        <v>34</v>
      </c>
      <c r="F68">
        <v>2</v>
      </c>
      <c r="G68" s="3">
        <v>360</v>
      </c>
      <c r="H68" s="3">
        <v>720</v>
      </c>
      <c r="I68" s="3">
        <v>720</v>
      </c>
    </row>
    <row r="69" spans="1:9">
      <c r="A69" t="s">
        <v>107</v>
      </c>
      <c r="B69" s="8">
        <v>46037</v>
      </c>
      <c r="C69" t="s">
        <v>10</v>
      </c>
      <c r="D69" t="s">
        <v>40</v>
      </c>
      <c r="E69" t="s">
        <v>34</v>
      </c>
      <c r="F69">
        <v>2</v>
      </c>
      <c r="G69" s="3">
        <v>715</v>
      </c>
      <c r="H69" s="3">
        <v>1430</v>
      </c>
      <c r="I69" s="3">
        <v>1430</v>
      </c>
    </row>
    <row r="70" spans="1:9">
      <c r="A70" t="s">
        <v>108</v>
      </c>
      <c r="B70" s="8">
        <v>46195</v>
      </c>
      <c r="C70" t="s">
        <v>22</v>
      </c>
      <c r="D70" t="s">
        <v>33</v>
      </c>
      <c r="E70" t="s">
        <v>43</v>
      </c>
      <c r="F70">
        <v>4</v>
      </c>
      <c r="G70" s="3">
        <v>1600</v>
      </c>
      <c r="H70" s="3">
        <v>6400</v>
      </c>
      <c r="I70" s="3">
        <v>6400</v>
      </c>
    </row>
    <row r="71" spans="1:9">
      <c r="A71" t="s">
        <v>109</v>
      </c>
      <c r="B71" s="8">
        <v>46067</v>
      </c>
      <c r="C71" t="s">
        <v>20</v>
      </c>
      <c r="D71" t="s">
        <v>51</v>
      </c>
      <c r="E71" t="s">
        <v>36</v>
      </c>
      <c r="F71">
        <v>4</v>
      </c>
      <c r="G71" s="3">
        <v>950</v>
      </c>
      <c r="H71" s="3">
        <v>3800</v>
      </c>
      <c r="I71" s="3">
        <v>3800</v>
      </c>
    </row>
    <row r="72" spans="1:9">
      <c r="A72" t="s">
        <v>110</v>
      </c>
      <c r="B72" s="8">
        <v>46175</v>
      </c>
      <c r="C72" t="s">
        <v>10</v>
      </c>
      <c r="D72" t="s">
        <v>40</v>
      </c>
      <c r="E72" t="s">
        <v>47</v>
      </c>
      <c r="F72">
        <v>6</v>
      </c>
      <c r="G72" s="3">
        <v>650</v>
      </c>
      <c r="H72" s="3">
        <v>3900</v>
      </c>
      <c r="I72" s="3">
        <v>3900</v>
      </c>
    </row>
    <row r="73" spans="1:9">
      <c r="A73" t="s">
        <v>111</v>
      </c>
      <c r="B73" s="8">
        <v>46029</v>
      </c>
      <c r="C73" t="s">
        <v>22</v>
      </c>
      <c r="D73" t="s">
        <v>33</v>
      </c>
      <c r="E73" t="s">
        <v>34</v>
      </c>
      <c r="F73">
        <v>3</v>
      </c>
      <c r="G73" s="3">
        <v>1600</v>
      </c>
      <c r="H73" s="3">
        <v>4800</v>
      </c>
      <c r="I73" s="3">
        <v>4800</v>
      </c>
    </row>
    <row r="74" spans="1:9">
      <c r="A74" t="s">
        <v>112</v>
      </c>
      <c r="B74" s="8">
        <v>46246</v>
      </c>
      <c r="C74" t="s">
        <v>16</v>
      </c>
      <c r="D74" t="s">
        <v>51</v>
      </c>
      <c r="E74" t="s">
        <v>36</v>
      </c>
      <c r="F74">
        <v>2</v>
      </c>
      <c r="G74" s="3">
        <v>1450</v>
      </c>
      <c r="H74" s="3">
        <v>2900</v>
      </c>
      <c r="I74" s="3">
        <v>2900</v>
      </c>
    </row>
    <row r="75" spans="1:9">
      <c r="A75" t="s">
        <v>113</v>
      </c>
      <c r="B75" s="8">
        <v>46218</v>
      </c>
      <c r="C75" t="s">
        <v>21</v>
      </c>
      <c r="D75" t="s">
        <v>33</v>
      </c>
      <c r="E75" t="s">
        <v>43</v>
      </c>
      <c r="F75">
        <v>6</v>
      </c>
      <c r="G75" s="3">
        <v>400</v>
      </c>
      <c r="H75" s="3">
        <v>2400</v>
      </c>
      <c r="I75" s="3">
        <v>2400</v>
      </c>
    </row>
    <row r="76" spans="1:9">
      <c r="A76" t="s">
        <v>114</v>
      </c>
      <c r="B76" s="8">
        <v>46297</v>
      </c>
      <c r="C76" t="s">
        <v>20</v>
      </c>
      <c r="D76" t="s">
        <v>51</v>
      </c>
      <c r="E76" t="s">
        <v>36</v>
      </c>
      <c r="F76">
        <v>4</v>
      </c>
      <c r="G76" s="3">
        <v>1045</v>
      </c>
      <c r="H76" s="3">
        <v>4180</v>
      </c>
      <c r="I76" s="3">
        <v>4180</v>
      </c>
    </row>
    <row r="77" spans="1:9">
      <c r="A77" t="s">
        <v>115</v>
      </c>
      <c r="B77" s="8">
        <v>46220</v>
      </c>
      <c r="C77" t="s">
        <v>12</v>
      </c>
      <c r="D77" t="s">
        <v>40</v>
      </c>
      <c r="E77" t="s">
        <v>36</v>
      </c>
      <c r="F77">
        <v>4</v>
      </c>
      <c r="G77" s="3">
        <v>1200</v>
      </c>
      <c r="H77" s="3">
        <v>4800</v>
      </c>
      <c r="I77" s="3">
        <v>4800</v>
      </c>
    </row>
    <row r="78" spans="1:9">
      <c r="A78" t="s">
        <v>116</v>
      </c>
      <c r="B78" s="8">
        <v>46152</v>
      </c>
      <c r="C78" t="s">
        <v>14</v>
      </c>
      <c r="D78" t="s">
        <v>40</v>
      </c>
      <c r="E78" t="s">
        <v>36</v>
      </c>
      <c r="F78">
        <v>8</v>
      </c>
      <c r="G78" s="3">
        <v>1800</v>
      </c>
      <c r="H78" s="3">
        <v>14400</v>
      </c>
      <c r="I78" s="3">
        <v>14400</v>
      </c>
    </row>
    <row r="79" spans="1:9">
      <c r="A79" t="s">
        <v>117</v>
      </c>
      <c r="B79" s="8">
        <v>46275</v>
      </c>
      <c r="C79" t="s">
        <v>21</v>
      </c>
      <c r="D79" t="s">
        <v>33</v>
      </c>
      <c r="E79" t="s">
        <v>34</v>
      </c>
      <c r="F79">
        <v>2</v>
      </c>
      <c r="G79" s="3">
        <v>360</v>
      </c>
      <c r="H79" s="3">
        <v>720</v>
      </c>
      <c r="I79" s="3">
        <v>720</v>
      </c>
    </row>
    <row r="80" spans="1:9">
      <c r="A80" t="s">
        <v>118</v>
      </c>
      <c r="B80" s="8">
        <v>46318</v>
      </c>
      <c r="C80" t="s">
        <v>20</v>
      </c>
      <c r="D80" t="s">
        <v>51</v>
      </c>
      <c r="E80" t="s">
        <v>36</v>
      </c>
      <c r="F80">
        <v>3</v>
      </c>
      <c r="G80" s="3">
        <v>1045</v>
      </c>
      <c r="H80" s="3">
        <v>3135</v>
      </c>
      <c r="I80" s="3">
        <v>3135</v>
      </c>
    </row>
    <row r="81" spans="1:9">
      <c r="A81" t="s">
        <v>119</v>
      </c>
      <c r="B81" s="8">
        <v>46214</v>
      </c>
      <c r="C81" t="s">
        <v>21</v>
      </c>
      <c r="D81" t="s">
        <v>33</v>
      </c>
      <c r="E81" t="s">
        <v>36</v>
      </c>
      <c r="F81">
        <v>6</v>
      </c>
      <c r="G81" s="3">
        <v>400</v>
      </c>
      <c r="H81" s="3">
        <v>2400</v>
      </c>
      <c r="I81" s="3">
        <v>2400</v>
      </c>
    </row>
    <row r="82" spans="1:9">
      <c r="A82" t="s">
        <v>120</v>
      </c>
      <c r="B82" s="8">
        <v>46111</v>
      </c>
      <c r="C82" t="s">
        <v>20</v>
      </c>
      <c r="D82" t="s">
        <v>51</v>
      </c>
      <c r="E82" t="s">
        <v>43</v>
      </c>
      <c r="F82">
        <v>8</v>
      </c>
      <c r="G82" s="3">
        <v>855</v>
      </c>
      <c r="H82" s="3">
        <v>6840</v>
      </c>
      <c r="I82" s="3">
        <v>6840</v>
      </c>
    </row>
    <row r="83" spans="1:9">
      <c r="A83" t="s">
        <v>121</v>
      </c>
      <c r="B83" s="8">
        <v>46210</v>
      </c>
      <c r="C83" t="s">
        <v>16</v>
      </c>
      <c r="D83" t="s">
        <v>51</v>
      </c>
      <c r="E83" t="s">
        <v>36</v>
      </c>
      <c r="F83">
        <v>6</v>
      </c>
      <c r="G83" s="3">
        <v>1595</v>
      </c>
      <c r="H83" s="3">
        <v>9570</v>
      </c>
      <c r="I83" s="3">
        <v>9570</v>
      </c>
    </row>
    <row r="84" spans="1:9">
      <c r="A84" t="s">
        <v>122</v>
      </c>
      <c r="B84" s="8">
        <v>46193</v>
      </c>
      <c r="C84" t="s">
        <v>14</v>
      </c>
      <c r="D84" t="s">
        <v>40</v>
      </c>
      <c r="E84" t="s">
        <v>43</v>
      </c>
      <c r="F84">
        <v>5</v>
      </c>
      <c r="G84" s="3">
        <v>1800</v>
      </c>
      <c r="H84" s="3">
        <v>9000</v>
      </c>
      <c r="I84" s="3">
        <v>9000</v>
      </c>
    </row>
    <row r="85" spans="1:9">
      <c r="A85" t="s">
        <v>123</v>
      </c>
      <c r="B85" s="8">
        <v>46060</v>
      </c>
      <c r="C85" t="s">
        <v>10</v>
      </c>
      <c r="D85" t="s">
        <v>40</v>
      </c>
      <c r="E85" t="s">
        <v>47</v>
      </c>
      <c r="F85">
        <v>6</v>
      </c>
      <c r="G85" s="3">
        <v>715</v>
      </c>
      <c r="H85" s="3">
        <v>4290</v>
      </c>
      <c r="I85" s="3">
        <v>4290</v>
      </c>
    </row>
    <row r="86" spans="1:9">
      <c r="A86" t="s">
        <v>124</v>
      </c>
      <c r="B86" s="8">
        <v>46069</v>
      </c>
      <c r="C86" t="s">
        <v>18</v>
      </c>
      <c r="D86" t="s">
        <v>58</v>
      </c>
      <c r="E86" t="s">
        <v>36</v>
      </c>
      <c r="F86">
        <v>3</v>
      </c>
      <c r="G86" s="3">
        <v>250</v>
      </c>
      <c r="H86" s="3">
        <v>750</v>
      </c>
      <c r="I86" s="3">
        <v>750</v>
      </c>
    </row>
    <row r="87" spans="1:9">
      <c r="A87" t="s">
        <v>125</v>
      </c>
      <c r="B87" s="8">
        <v>46167</v>
      </c>
      <c r="C87" t="s">
        <v>14</v>
      </c>
      <c r="D87" t="s">
        <v>40</v>
      </c>
      <c r="E87" t="s">
        <v>47</v>
      </c>
      <c r="F87">
        <v>8</v>
      </c>
      <c r="G87" s="3">
        <v>1800</v>
      </c>
      <c r="H87" s="3">
        <v>14400</v>
      </c>
      <c r="I87" s="3">
        <v>14400</v>
      </c>
    </row>
    <row r="88" spans="1:9">
      <c r="A88" t="s">
        <v>126</v>
      </c>
      <c r="B88" s="8">
        <v>46163</v>
      </c>
      <c r="C88" t="s">
        <v>16</v>
      </c>
      <c r="D88" t="s">
        <v>51</v>
      </c>
      <c r="E88" t="s">
        <v>47</v>
      </c>
      <c r="F88">
        <v>4</v>
      </c>
      <c r="G88" s="3">
        <v>1450</v>
      </c>
      <c r="H88" s="3">
        <v>5800</v>
      </c>
      <c r="I88" s="3">
        <v>5800</v>
      </c>
    </row>
    <row r="89" spans="1:9">
      <c r="A89" t="s">
        <v>127</v>
      </c>
      <c r="B89" s="8">
        <v>46181</v>
      </c>
      <c r="C89" t="s">
        <v>16</v>
      </c>
      <c r="D89" t="s">
        <v>51</v>
      </c>
      <c r="E89" t="s">
        <v>43</v>
      </c>
      <c r="F89">
        <v>3</v>
      </c>
      <c r="G89" s="3">
        <v>1450</v>
      </c>
      <c r="H89" s="3">
        <v>4350</v>
      </c>
      <c r="I89" s="3">
        <v>4350</v>
      </c>
    </row>
    <row r="90" spans="1:9">
      <c r="A90" t="s">
        <v>128</v>
      </c>
      <c r="B90" s="8">
        <v>46248</v>
      </c>
      <c r="C90" t="s">
        <v>14</v>
      </c>
      <c r="D90" t="s">
        <v>40</v>
      </c>
      <c r="E90" t="s">
        <v>43</v>
      </c>
      <c r="F90">
        <v>8</v>
      </c>
      <c r="G90" s="3">
        <v>1800</v>
      </c>
      <c r="H90" s="3">
        <v>14400</v>
      </c>
      <c r="I90" s="3">
        <v>14400</v>
      </c>
    </row>
    <row r="91" spans="1:9">
      <c r="A91" t="s">
        <v>129</v>
      </c>
      <c r="B91" s="8">
        <v>46123</v>
      </c>
      <c r="C91" t="s">
        <v>21</v>
      </c>
      <c r="D91" t="s">
        <v>33</v>
      </c>
      <c r="E91" t="s">
        <v>34</v>
      </c>
      <c r="F91">
        <v>6</v>
      </c>
      <c r="G91" s="3">
        <v>400</v>
      </c>
      <c r="H91" s="3">
        <v>2400</v>
      </c>
      <c r="I91" s="3">
        <v>2400</v>
      </c>
    </row>
    <row r="92" spans="1:9">
      <c r="A92" t="s">
        <v>130</v>
      </c>
      <c r="B92" s="8">
        <v>46227</v>
      </c>
      <c r="C92" t="s">
        <v>22</v>
      </c>
      <c r="D92" t="s">
        <v>33</v>
      </c>
      <c r="E92" t="s">
        <v>36</v>
      </c>
      <c r="F92">
        <v>6</v>
      </c>
      <c r="G92" s="3">
        <v>1600</v>
      </c>
      <c r="H92" s="3">
        <v>9600</v>
      </c>
      <c r="I92" s="3">
        <v>9600</v>
      </c>
    </row>
    <row r="93" spans="1:9">
      <c r="A93" t="s">
        <v>131</v>
      </c>
      <c r="B93" s="8">
        <v>46172</v>
      </c>
      <c r="C93" t="s">
        <v>14</v>
      </c>
      <c r="D93" t="s">
        <v>40</v>
      </c>
      <c r="E93" t="s">
        <v>43</v>
      </c>
      <c r="F93">
        <v>1</v>
      </c>
      <c r="G93" s="3">
        <v>1620</v>
      </c>
      <c r="H93" s="3">
        <v>1620</v>
      </c>
      <c r="I93" s="3">
        <v>1620</v>
      </c>
    </row>
    <row r="94" spans="1:9">
      <c r="A94" t="s">
        <v>132</v>
      </c>
      <c r="B94" s="8">
        <v>46289</v>
      </c>
      <c r="C94" t="s">
        <v>18</v>
      </c>
      <c r="D94" t="s">
        <v>58</v>
      </c>
      <c r="E94" t="s">
        <v>43</v>
      </c>
      <c r="F94">
        <v>8</v>
      </c>
      <c r="G94" s="3">
        <v>250</v>
      </c>
      <c r="H94" s="3">
        <v>2000</v>
      </c>
      <c r="I94" s="3">
        <v>2000</v>
      </c>
    </row>
    <row r="95" spans="1:9">
      <c r="A95" t="s">
        <v>133</v>
      </c>
      <c r="B95" s="8">
        <v>46239</v>
      </c>
      <c r="C95" t="s">
        <v>20</v>
      </c>
      <c r="D95" t="s">
        <v>51</v>
      </c>
      <c r="E95" t="s">
        <v>43</v>
      </c>
      <c r="F95">
        <v>3</v>
      </c>
      <c r="G95" s="3">
        <v>950</v>
      </c>
      <c r="H95" s="3">
        <v>2850</v>
      </c>
      <c r="I95" s="3">
        <v>2850</v>
      </c>
    </row>
    <row r="96" spans="1:9">
      <c r="A96" t="s">
        <v>134</v>
      </c>
      <c r="B96" s="8">
        <v>46254</v>
      </c>
      <c r="C96" t="s">
        <v>10</v>
      </c>
      <c r="D96" t="s">
        <v>40</v>
      </c>
      <c r="E96" t="s">
        <v>47</v>
      </c>
      <c r="F96">
        <v>3</v>
      </c>
      <c r="G96" s="3">
        <v>585</v>
      </c>
      <c r="H96" s="3">
        <v>1755</v>
      </c>
      <c r="I96" s="3">
        <v>1755</v>
      </c>
    </row>
    <row r="97" spans="1:9">
      <c r="A97" t="s">
        <v>135</v>
      </c>
      <c r="B97" s="8">
        <v>46130</v>
      </c>
      <c r="C97" t="s">
        <v>18</v>
      </c>
      <c r="D97" t="s">
        <v>58</v>
      </c>
      <c r="E97" t="s">
        <v>47</v>
      </c>
      <c r="F97">
        <v>4</v>
      </c>
      <c r="G97" s="3">
        <v>250</v>
      </c>
      <c r="H97" s="3">
        <v>1000</v>
      </c>
      <c r="I97" s="3">
        <v>1000</v>
      </c>
    </row>
    <row r="98" spans="1:9">
      <c r="A98" t="s">
        <v>136</v>
      </c>
      <c r="B98" s="8">
        <v>46070</v>
      </c>
      <c r="C98" t="s">
        <v>21</v>
      </c>
      <c r="D98" t="s">
        <v>33</v>
      </c>
      <c r="E98" t="s">
        <v>34</v>
      </c>
      <c r="F98">
        <v>8</v>
      </c>
      <c r="G98" s="3">
        <v>400</v>
      </c>
      <c r="H98" s="3">
        <v>3200</v>
      </c>
      <c r="I98" s="3">
        <v>3200</v>
      </c>
    </row>
    <row r="99" spans="1:9">
      <c r="A99" t="s">
        <v>137</v>
      </c>
      <c r="B99" s="8">
        <v>46293</v>
      </c>
      <c r="C99" t="s">
        <v>14</v>
      </c>
      <c r="D99" t="s">
        <v>40</v>
      </c>
      <c r="E99" t="s">
        <v>36</v>
      </c>
      <c r="F99">
        <v>4</v>
      </c>
      <c r="G99" s="3">
        <v>1800</v>
      </c>
      <c r="H99" s="3">
        <v>7200</v>
      </c>
      <c r="I99" s="3">
        <v>7200</v>
      </c>
    </row>
    <row r="100" spans="1:9">
      <c r="A100" t="s">
        <v>138</v>
      </c>
      <c r="B100" s="8">
        <v>46129</v>
      </c>
      <c r="C100" t="s">
        <v>20</v>
      </c>
      <c r="D100" t="s">
        <v>51</v>
      </c>
      <c r="E100" t="s">
        <v>47</v>
      </c>
      <c r="F100">
        <v>4</v>
      </c>
      <c r="G100" s="3">
        <v>950</v>
      </c>
      <c r="H100" s="3">
        <v>3800</v>
      </c>
      <c r="I100" s="3">
        <v>3800</v>
      </c>
    </row>
    <row r="101" spans="1:9">
      <c r="A101" t="s">
        <v>139</v>
      </c>
      <c r="B101" s="8">
        <v>46296</v>
      </c>
      <c r="C101" t="s">
        <v>16</v>
      </c>
      <c r="D101" t="s">
        <v>51</v>
      </c>
      <c r="E101" t="s">
        <v>43</v>
      </c>
      <c r="F101">
        <v>5</v>
      </c>
      <c r="G101" s="3">
        <v>1305</v>
      </c>
      <c r="H101" s="3">
        <v>6525</v>
      </c>
      <c r="I101" s="3">
        <v>6525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2026-10-29T12:51:26Z</dcterms:created>
  <dcterms:modified xsi:type="dcterms:W3CDTF">2026-10-29T13:02:48Z</dcterms:modified>
  <cp:category/>
  <cp:contentStatus/>
</cp:coreProperties>
</file>